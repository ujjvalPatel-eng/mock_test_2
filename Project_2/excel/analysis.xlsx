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6f212dc3464f98/Desktop/Project_2/excel/"/>
    </mc:Choice>
  </mc:AlternateContent>
  <xr:revisionPtr revIDLastSave="0" documentId="8_{50B2F27D-733E-41D6-8806-049DB69283A3}" xr6:coauthVersionLast="47" xr6:coauthVersionMax="47" xr10:uidLastSave="{00000000-0000-0000-0000-000000000000}"/>
  <bookViews>
    <workbookView xWindow="-108" yWindow="-108" windowWidth="23256" windowHeight="12456" activeTab="3" xr2:uid="{C003AC86-487F-48C4-9E61-BAB27F9E7F37}"/>
  </bookViews>
  <sheets>
    <sheet name="RAW" sheetId="1" r:id="rId1"/>
    <sheet name="clean" sheetId="2" r:id="rId2"/>
    <sheet name="lookup" sheetId="3" r:id="rId3"/>
    <sheet name="summary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H13" i="2"/>
  <c r="H12" i="2"/>
  <c r="H11" i="2"/>
  <c r="H10" i="2"/>
  <c r="H9" i="2"/>
  <c r="H8" i="2"/>
  <c r="H7" i="2"/>
  <c r="H6" i="2"/>
  <c r="H5" i="2"/>
  <c r="H4" i="2"/>
  <c r="H3" i="2"/>
  <c r="H2" i="2"/>
  <c r="G3" i="2"/>
  <c r="G4" i="2"/>
  <c r="G5" i="2"/>
  <c r="G6" i="2"/>
  <c r="G7" i="2"/>
  <c r="G8" i="2"/>
  <c r="G9" i="2"/>
  <c r="G10" i="2"/>
  <c r="G11" i="2"/>
  <c r="G12" i="2"/>
  <c r="G13" i="2"/>
  <c r="G2" i="2"/>
  <c r="J5" i="2"/>
  <c r="J4" i="2"/>
</calcChain>
</file>

<file path=xl/sharedStrings.xml><?xml version="1.0" encoding="utf-8"?>
<sst xmlns="http://schemas.openxmlformats.org/spreadsheetml/2006/main" count="120" uniqueCount="35">
  <si>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</si>
  <si>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</si>
  <si>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</si>
  <si>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</si>
  <si>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</si>
  <si>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</si>
  <si>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</si>
  <si>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</si>
  <si>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</si>
  <si>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</si>
  <si>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ticket_id</t>
  </si>
  <si>
    <t>month</t>
  </si>
  <si>
    <t>team_id</t>
  </si>
  <si>
    <t>channel</t>
  </si>
  <si>
    <t>resolution_hours</t>
  </si>
  <si>
    <t>satisfaction</t>
  </si>
  <si>
    <t>AccountCare</t>
  </si>
  <si>
    <t xml:space="preserve">Service </t>
  </si>
  <si>
    <t>BillingHelp</t>
  </si>
  <si>
    <t>AppSupport</t>
  </si>
  <si>
    <t xml:space="preserve">Technical </t>
  </si>
  <si>
    <t>DeviceHelp</t>
  </si>
  <si>
    <t>Technical</t>
  </si>
  <si>
    <t>team</t>
  </si>
  <si>
    <t>department</t>
  </si>
  <si>
    <t>Before (Row count)</t>
  </si>
  <si>
    <t>After (Row count)</t>
  </si>
  <si>
    <t>breach_flag</t>
  </si>
  <si>
    <t>breach tickets by Email</t>
  </si>
  <si>
    <t>breach tickets by Chat</t>
  </si>
  <si>
    <t>breach tickets by Phone</t>
  </si>
  <si>
    <t>Sum of resolution_hours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</si>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</sst>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49" fontId="0" fillId="0" borderId="1" xfId="0" applyNumberFormat="1" applyBorder="1"/>
    <xf numFmtId="0" fontId="1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summary!$E$2:$E$3</c:f>
              <c:strCache>
                <c:ptCount val="1"/>
                <c:pt idx="0">
                  <c:v>Service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summary!$D$4:$D$7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summary!$E$4:$E$7</c:f>
              <c:numCache>
                <c:formatCode>0</c:formatCode>
                <c:ptCount val="3"/>
                <c:pt idx="0">
                  <c:v>40</c:v>
                </c:pt>
                <c:pt idx="1">
                  <c:v>38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7D5-B84A-234915C9B7BC}"/>
            </c:ext>
          </c:extLst>
        </c:ser>
        <c:ser>
          <c:idx val="1"/>
          <c:order val="1"/>
          <c:tx>
            <c:strRef>
              <c:f>summary!$F$2:$F$3</c:f>
              <c:strCache>
                <c:ptCount val="1"/>
                <c:pt idx="0">
                  <c:v>Technical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summary!$D$4:$D$7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summary!$F$4:$F$7</c:f>
              <c:numCache>
                <c:formatCode>0</c:formatCode>
                <c:ptCount val="3"/>
                <c:pt idx="0">
                  <c:v>20</c:v>
                </c:pt>
                <c:pt idx="1">
                  <c:v>40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3F-47D5-B84A-234915C9B7BC}"/>
            </c:ext>
          </c:extLst>
        </c:ser>
        <c:ser>
          <c:idx val="2"/>
          <c:order val="2"/>
          <c:tx>
            <c:strRef>
              <c:f>summary!$G$2:$G$3</c:f>
              <c:strCache>
                <c:ptCount val="1"/>
                <c:pt idx="0">
                  <c:v>Technical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summary!$D$4:$D$7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summary!$G$4:$G$7</c:f>
              <c:numCache>
                <c:formatCode>0</c:formatCode>
                <c:ptCount val="3"/>
                <c:pt idx="0">
                  <c:v>36</c:v>
                </c:pt>
                <c:pt idx="1">
                  <c:v>18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3F-47D5-B84A-234915C9B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649060432"/>
        <c:axId val="636086224"/>
      </c:barChart>
      <c:catAx>
        <c:axId val="6490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086224"/>
        <c:crosses val="autoZero"/>
        <c:auto val="1"/>
        <c:lblAlgn val="ctr"/>
        <c:lblOffset val="100"/>
        <c:noMultiLvlLbl val="0"/>
      </c:catAx>
      <c:valAx>
        <c:axId val="63608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604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7</xdr:row>
      <xdr:rowOff>72390</xdr:rowOff>
    </xdr:from>
    <xdr:to>
      <xdr:col>4</xdr:col>
      <xdr:colOff>1432560</xdr:colOff>
      <xdr:row>22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B8129-16D5-7B6B-DAC6-014CCE224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el" refreshedDate="46298.482204050924" createdVersion="8" refreshedVersion="8" minRefreshableVersion="3" recordCount="12" xr:uid="{A0AB2A9C-4D28-4D9D-9714-16B3B183F72D}">
  <cacheSource type="worksheet">
    <worksheetSource ref="A1:H13" sheet="clean"/>
  </cacheSource>
  <cacheFields count="8">
    <cacheField name="ticket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1">
      <sharedItems containsSemiMixedTypes="0" containsString="0" containsNumber="1" containsInteger="1" minValue="8" maxValue="40"/>
    </cacheField>
    <cacheField name="satisfaction" numFmtId="1">
      <sharedItems containsSemiMixedTypes="0" containsString="0" containsNumber="1" containsInteger="1" minValue="2" maxValue="5"/>
    </cacheField>
    <cacheField name="department" numFmtId="0">
      <sharedItems count="3">
        <s v="Service "/>
        <s v="Technical "/>
        <s v="Technical"/>
      </sharedItems>
    </cacheField>
    <cacheField name="breach_flag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x v="0"/>
  </r>
  <r>
    <n v="2"/>
    <x v="0"/>
    <s v="T2"/>
    <s v="Chat"/>
    <n v="28"/>
    <n v="3"/>
    <x v="0"/>
    <x v="1"/>
  </r>
  <r>
    <n v="3"/>
    <x v="0"/>
    <s v="T3"/>
    <s v="Phone"/>
    <n v="36"/>
    <n v="2"/>
    <x v="1"/>
    <x v="1"/>
  </r>
  <r>
    <n v="4"/>
    <x v="0"/>
    <s v="T4"/>
    <s v="Email"/>
    <n v="20"/>
    <n v="4"/>
    <x v="2"/>
    <x v="0"/>
  </r>
  <r>
    <n v="5"/>
    <x v="1"/>
    <s v="T1"/>
    <s v="Chat"/>
    <n v="8"/>
    <n v="5"/>
    <x v="0"/>
    <x v="0"/>
  </r>
  <r>
    <n v="6"/>
    <x v="1"/>
    <s v="T2"/>
    <s v="Phone"/>
    <n v="30"/>
    <n v="3"/>
    <x v="0"/>
    <x v="1"/>
  </r>
  <r>
    <n v="7"/>
    <x v="1"/>
    <s v="T3"/>
    <s v="Email"/>
    <n v="18"/>
    <n v="4"/>
    <x v="1"/>
    <x v="0"/>
  </r>
  <r>
    <n v="8"/>
    <x v="1"/>
    <s v="T4"/>
    <s v="Chat"/>
    <n v="40"/>
    <n v="2"/>
    <x v="2"/>
    <x v="1"/>
  </r>
  <r>
    <n v="9"/>
    <x v="2"/>
    <s v="T1"/>
    <s v="Phone"/>
    <n v="16"/>
    <n v="4"/>
    <x v="0"/>
    <x v="0"/>
  </r>
  <r>
    <n v="10"/>
    <x v="2"/>
    <s v="T2"/>
    <s v="Email"/>
    <n v="22"/>
    <n v="4"/>
    <x v="0"/>
    <x v="0"/>
  </r>
  <r>
    <n v="11"/>
    <x v="2"/>
    <s v="T3"/>
    <s v="Chat"/>
    <n v="32"/>
    <n v="3"/>
    <x v="1"/>
    <x v="1"/>
  </r>
  <r>
    <n v="12"/>
    <x v="2"/>
    <s v="T4"/>
    <s v="Phone"/>
    <n v="24"/>
    <n v="5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52532-FFE4-43CE-9EE0-8A207F8737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H7" firstHeaderRow="1" firstDataRow="2" firstDataCol="1"/>
  <pivotFields count="8"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numFmtId="1" showAll="0"/>
    <pivotField axis="axisCol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resolution_hours" fld="4" baseField="0" baseItem="0" numFmtId="1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7F9E-029A-4526-8D9B-17601FEB2AA1}">
  <dimension ref="A1:F14"/>
  <sheetViews>
    <sheetView workbookViewId="0">
      <selection activeCell="D13" sqref="A1:F14"/>
    </sheetView>
  </sheetViews>
  <sheetFormatPr defaultRowHeight="14.4" x14ac:dyDescent="0.3"/>
  <cols>
    <col min="1" max="1" width="12.109375" customWidth="1"/>
    <col min="2" max="2" width="18" customWidth="1"/>
    <col min="3" max="3" width="18.21875" customWidth="1"/>
    <col min="4" max="4" width="13.5546875" customWidth="1"/>
    <col min="5" max="5" width="20.109375" customWidth="1"/>
    <col min="6" max="6" width="17" customWidth="1"/>
  </cols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1</v>
      </c>
      <c r="B2" t="s">
        <v>0</v>
      </c>
      <c r="C2" t="s">
        <v>1</v>
      </c>
      <c r="D2" t="s">
        <v>2</v>
      </c>
      <c r="E2">
        <v>12</v>
      </c>
      <c r="F2">
        <v>4</v>
      </c>
    </row>
    <row r="3" spans="1:6" x14ac:dyDescent="0.3">
      <c r="A3">
        <v>2</v>
      </c>
      <c r="B3" t="s">
        <v>0</v>
      </c>
      <c r="C3" t="s">
        <v>3</v>
      </c>
      <c r="D3" t="s">
        <v>4</v>
      </c>
      <c r="E3">
        <v>28</v>
      </c>
      <c r="F3">
        <v>3</v>
      </c>
    </row>
    <row r="4" spans="1:6" x14ac:dyDescent="0.3">
      <c r="A4">
        <v>3</v>
      </c>
      <c r="B4" t="s">
        <v>0</v>
      </c>
      <c r="C4" t="s">
        <v>5</v>
      </c>
      <c r="D4" t="s">
        <v>6</v>
      </c>
      <c r="E4">
        <v>36</v>
      </c>
      <c r="F4">
        <v>2</v>
      </c>
    </row>
    <row r="5" spans="1:6" x14ac:dyDescent="0.3">
      <c r="A5">
        <v>4</v>
      </c>
      <c r="B5" t="s">
        <v>0</v>
      </c>
      <c r="C5" t="s">
        <v>7</v>
      </c>
      <c r="D5" t="s">
        <v>2</v>
      </c>
      <c r="E5">
        <v>20</v>
      </c>
      <c r="F5">
        <v>4</v>
      </c>
    </row>
    <row r="6" spans="1:6" x14ac:dyDescent="0.3">
      <c r="A6">
        <v>5</v>
      </c>
      <c r="B6" t="s">
        <v>8</v>
      </c>
      <c r="C6" t="s">
        <v>1</v>
      </c>
      <c r="D6" t="s">
        <v>4</v>
      </c>
      <c r="E6">
        <v>8</v>
      </c>
      <c r="F6">
        <v>5</v>
      </c>
    </row>
    <row r="7" spans="1:6" x14ac:dyDescent="0.3">
      <c r="A7">
        <v>6</v>
      </c>
      <c r="B7" t="s">
        <v>8</v>
      </c>
      <c r="C7" t="s">
        <v>3</v>
      </c>
      <c r="D7" t="s">
        <v>6</v>
      </c>
      <c r="E7">
        <v>30</v>
      </c>
      <c r="F7">
        <v>3</v>
      </c>
    </row>
    <row r="8" spans="1:6" x14ac:dyDescent="0.3">
      <c r="A8">
        <v>7</v>
      </c>
      <c r="B8" t="s">
        <v>8</v>
      </c>
      <c r="C8" t="s">
        <v>5</v>
      </c>
      <c r="D8" t="s">
        <v>2</v>
      </c>
      <c r="E8">
        <v>18</v>
      </c>
      <c r="F8">
        <v>4</v>
      </c>
    </row>
    <row r="9" spans="1:6" x14ac:dyDescent="0.3">
      <c r="A9">
        <v>8</v>
      </c>
      <c r="B9" t="s">
        <v>8</v>
      </c>
      <c r="C9" t="s">
        <v>7</v>
      </c>
      <c r="D9" t="s">
        <v>4</v>
      </c>
      <c r="E9">
        <v>40</v>
      </c>
      <c r="F9">
        <v>2</v>
      </c>
    </row>
    <row r="10" spans="1:6" x14ac:dyDescent="0.3">
      <c r="A10">
        <v>9</v>
      </c>
      <c r="B10" t="s">
        <v>9</v>
      </c>
      <c r="C10" t="s">
        <v>1</v>
      </c>
      <c r="D10" t="s">
        <v>6</v>
      </c>
      <c r="E10">
        <v>16</v>
      </c>
      <c r="F10">
        <v>4</v>
      </c>
    </row>
    <row r="11" spans="1:6" x14ac:dyDescent="0.3">
      <c r="A11">
        <v>10</v>
      </c>
      <c r="B11" t="s">
        <v>9</v>
      </c>
      <c r="C11" t="s">
        <v>3</v>
      </c>
      <c r="D11" t="s">
        <v>2</v>
      </c>
      <c r="E11">
        <v>22</v>
      </c>
      <c r="F11">
        <v>4</v>
      </c>
    </row>
    <row r="12" spans="1:6" x14ac:dyDescent="0.3">
      <c r="A12">
        <v>11</v>
      </c>
      <c r="B12" t="s">
        <v>9</v>
      </c>
      <c r="C12" t="s">
        <v>5</v>
      </c>
      <c r="D12" t="s">
        <v>4</v>
      </c>
      <c r="E12">
        <v>32</v>
      </c>
      <c r="F12">
        <v>3</v>
      </c>
    </row>
    <row r="13" spans="1:6" x14ac:dyDescent="0.3">
      <c r="A13">
        <v>12</v>
      </c>
      <c r="B13" t="s">
        <v>9</v>
      </c>
      <c r="C13" t="s">
        <v>7</v>
      </c>
      <c r="D13" t="s">
        <v>6</v>
      </c>
      <c r="E13">
        <v>24</v>
      </c>
      <c r="F13">
        <v>5</v>
      </c>
    </row>
    <row r="14" spans="1:6" x14ac:dyDescent="0.3">
      <c r="A14">
        <v>12</v>
      </c>
      <c r="B14" t="s">
        <v>9</v>
      </c>
      <c r="C14" t="s">
        <v>7</v>
      </c>
      <c r="D14" t="s">
        <v>6</v>
      </c>
      <c r="E14">
        <v>24</v>
      </c>
      <c r="F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EBB0-F90B-4217-9502-3F4B482FF991}">
  <dimension ref="A1:J13"/>
  <sheetViews>
    <sheetView workbookViewId="0">
      <selection activeCell="A2" sqref="A1:J13"/>
    </sheetView>
  </sheetViews>
  <sheetFormatPr defaultRowHeight="14.4" x14ac:dyDescent="0.3"/>
  <cols>
    <col min="5" max="5" width="16" customWidth="1"/>
    <col min="6" max="7" width="14.88671875" customWidth="1"/>
    <col min="8" max="8" width="18" customWidth="1"/>
    <col min="9" max="9" width="18.77734375" customWidth="1"/>
  </cols>
  <sheetData>
    <row r="1" spans="1:10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24</v>
      </c>
      <c r="H1" s="3" t="s">
        <v>27</v>
      </c>
    </row>
    <row r="2" spans="1:10" x14ac:dyDescent="0.3">
      <c r="A2" s="4">
        <v>1</v>
      </c>
      <c r="B2" s="5" t="s">
        <v>0</v>
      </c>
      <c r="C2" s="2" t="s">
        <v>1</v>
      </c>
      <c r="D2" s="2" t="s">
        <v>2</v>
      </c>
      <c r="E2" s="4">
        <v>12</v>
      </c>
      <c r="F2" s="4">
        <v>4</v>
      </c>
      <c r="G2" s="2" t="str">
        <f>_xlfn.XLOOKUP($C2,lookup!$A$2:$A$5,lookup!$C$2:$C$5)</f>
        <v xml:space="preserve">Service </v>
      </c>
      <c r="H2" s="2">
        <f>IF($E2&gt;24,1,0)</f>
        <v>0</v>
      </c>
    </row>
    <row r="3" spans="1:10" x14ac:dyDescent="0.3">
      <c r="A3" s="4">
        <v>2</v>
      </c>
      <c r="B3" s="5" t="s">
        <v>0</v>
      </c>
      <c r="C3" s="2" t="s">
        <v>3</v>
      </c>
      <c r="D3" s="2" t="s">
        <v>4</v>
      </c>
      <c r="E3" s="4">
        <v>28</v>
      </c>
      <c r="F3" s="4">
        <v>3</v>
      </c>
      <c r="G3" s="2" t="str">
        <f>_xlfn.XLOOKUP($C3,lookup!$A$2:$A$5,lookup!$C$2:$C$5)</f>
        <v xml:space="preserve">Service </v>
      </c>
      <c r="H3" s="2">
        <f t="shared" ref="H3:H13" si="0">IF($E3&gt;24,1,0)</f>
        <v>1</v>
      </c>
    </row>
    <row r="4" spans="1:10" x14ac:dyDescent="0.3">
      <c r="A4" s="4">
        <v>3</v>
      </c>
      <c r="B4" s="5" t="s">
        <v>0</v>
      </c>
      <c r="C4" s="2" t="s">
        <v>5</v>
      </c>
      <c r="D4" s="2" t="s">
        <v>6</v>
      </c>
      <c r="E4" s="4">
        <v>36</v>
      </c>
      <c r="F4" s="4">
        <v>2</v>
      </c>
      <c r="G4" s="2" t="str">
        <f>_xlfn.XLOOKUP($C4,lookup!$A$2:$A$5,lookup!$C$2:$C$5)</f>
        <v xml:space="preserve">Technical </v>
      </c>
      <c r="H4" s="2">
        <f t="shared" si="0"/>
        <v>1</v>
      </c>
      <c r="I4" s="6" t="s">
        <v>25</v>
      </c>
      <c r="J4" s="2">
        <f>ROWS(RAW!$A$1:$F$14)</f>
        <v>14</v>
      </c>
    </row>
    <row r="5" spans="1:10" x14ac:dyDescent="0.3">
      <c r="A5" s="4">
        <v>4</v>
      </c>
      <c r="B5" s="5" t="s">
        <v>0</v>
      </c>
      <c r="C5" s="2" t="s">
        <v>7</v>
      </c>
      <c r="D5" s="2" t="s">
        <v>2</v>
      </c>
      <c r="E5" s="4">
        <v>20</v>
      </c>
      <c r="F5" s="4">
        <v>4</v>
      </c>
      <c r="G5" s="2" t="str">
        <f>_xlfn.XLOOKUP($C5,lookup!$A$2:$A$5,lookup!$C$2:$C$5)</f>
        <v>Technical</v>
      </c>
      <c r="H5" s="2">
        <f t="shared" si="0"/>
        <v>0</v>
      </c>
      <c r="I5" s="6" t="s">
        <v>26</v>
      </c>
      <c r="J5" s="2">
        <f>ROWS($A$1:$F$13)</f>
        <v>13</v>
      </c>
    </row>
    <row r="6" spans="1:10" x14ac:dyDescent="0.3">
      <c r="A6" s="4">
        <v>5</v>
      </c>
      <c r="B6" s="5" t="s">
        <v>8</v>
      </c>
      <c r="C6" s="2" t="s">
        <v>1</v>
      </c>
      <c r="D6" s="2" t="s">
        <v>4</v>
      </c>
      <c r="E6" s="4">
        <v>8</v>
      </c>
      <c r="F6" s="4">
        <v>5</v>
      </c>
      <c r="G6" s="2" t="str">
        <f>_xlfn.XLOOKUP($C6,lookup!$A$2:$A$5,lookup!$C$2:$C$5)</f>
        <v xml:space="preserve">Service </v>
      </c>
      <c r="H6" s="2">
        <f t="shared" si="0"/>
        <v>0</v>
      </c>
    </row>
    <row r="7" spans="1:10" x14ac:dyDescent="0.3">
      <c r="A7" s="4">
        <v>6</v>
      </c>
      <c r="B7" s="5" t="s">
        <v>8</v>
      </c>
      <c r="C7" s="2" t="s">
        <v>3</v>
      </c>
      <c r="D7" s="2" t="s">
        <v>6</v>
      </c>
      <c r="E7" s="4">
        <v>30</v>
      </c>
      <c r="F7" s="4">
        <v>3</v>
      </c>
      <c r="G7" s="2" t="str">
        <f>_xlfn.XLOOKUP($C7,lookup!$A$2:$A$5,lookup!$C$2:$C$5)</f>
        <v xml:space="preserve">Service </v>
      </c>
      <c r="H7" s="2">
        <f t="shared" si="0"/>
        <v>1</v>
      </c>
    </row>
    <row r="8" spans="1:10" x14ac:dyDescent="0.3">
      <c r="A8" s="4">
        <v>7</v>
      </c>
      <c r="B8" s="5" t="s">
        <v>8</v>
      </c>
      <c r="C8" s="2" t="s">
        <v>5</v>
      </c>
      <c r="D8" s="2" t="s">
        <v>2</v>
      </c>
      <c r="E8" s="4">
        <v>18</v>
      </c>
      <c r="F8" s="4">
        <v>4</v>
      </c>
      <c r="G8" s="2" t="str">
        <f>_xlfn.XLOOKUP($C8,lookup!$A$2:$A$5,lookup!$C$2:$C$5)</f>
        <v xml:space="preserve">Technical </v>
      </c>
      <c r="H8" s="2">
        <f t="shared" si="0"/>
        <v>0</v>
      </c>
    </row>
    <row r="9" spans="1:10" x14ac:dyDescent="0.3">
      <c r="A9" s="4">
        <v>8</v>
      </c>
      <c r="B9" s="5" t="s">
        <v>8</v>
      </c>
      <c r="C9" s="2" t="s">
        <v>7</v>
      </c>
      <c r="D9" s="2" t="s">
        <v>4</v>
      </c>
      <c r="E9" s="4">
        <v>40</v>
      </c>
      <c r="F9" s="4">
        <v>2</v>
      </c>
      <c r="G9" s="2" t="str">
        <f>_xlfn.XLOOKUP($C9,lookup!$A$2:$A$5,lookup!$C$2:$C$5)</f>
        <v>Technical</v>
      </c>
      <c r="H9" s="2">
        <f t="shared" si="0"/>
        <v>1</v>
      </c>
    </row>
    <row r="10" spans="1:10" x14ac:dyDescent="0.3">
      <c r="A10" s="4">
        <v>9</v>
      </c>
      <c r="B10" s="5" t="s">
        <v>9</v>
      </c>
      <c r="C10" s="2" t="s">
        <v>1</v>
      </c>
      <c r="D10" s="2" t="s">
        <v>6</v>
      </c>
      <c r="E10" s="4">
        <v>16</v>
      </c>
      <c r="F10" s="4">
        <v>4</v>
      </c>
      <c r="G10" s="2" t="str">
        <f>_xlfn.XLOOKUP($C10,lookup!$A$2:$A$5,lookup!$C$2:$C$5)</f>
        <v xml:space="preserve">Service </v>
      </c>
      <c r="H10" s="2">
        <f t="shared" si="0"/>
        <v>0</v>
      </c>
    </row>
    <row r="11" spans="1:10" x14ac:dyDescent="0.3">
      <c r="A11" s="4">
        <v>10</v>
      </c>
      <c r="B11" s="5" t="s">
        <v>9</v>
      </c>
      <c r="C11" s="2" t="s">
        <v>3</v>
      </c>
      <c r="D11" s="2" t="s">
        <v>2</v>
      </c>
      <c r="E11" s="4">
        <v>22</v>
      </c>
      <c r="F11" s="4">
        <v>4</v>
      </c>
      <c r="G11" s="2" t="str">
        <f>_xlfn.XLOOKUP($C11,lookup!$A$2:$A$5,lookup!$C$2:$C$5)</f>
        <v xml:space="preserve">Service </v>
      </c>
      <c r="H11" s="2">
        <f t="shared" si="0"/>
        <v>0</v>
      </c>
    </row>
    <row r="12" spans="1:10" x14ac:dyDescent="0.3">
      <c r="A12" s="4">
        <v>11</v>
      </c>
      <c r="B12" s="5" t="s">
        <v>9</v>
      </c>
      <c r="C12" s="2" t="s">
        <v>5</v>
      </c>
      <c r="D12" s="2" t="s">
        <v>4</v>
      </c>
      <c r="E12" s="4">
        <v>32</v>
      </c>
      <c r="F12" s="4">
        <v>3</v>
      </c>
      <c r="G12" s="2" t="str">
        <f>_xlfn.XLOOKUP($C12,lookup!$A$2:$A$5,lookup!$C$2:$C$5)</f>
        <v xml:space="preserve">Technical </v>
      </c>
      <c r="H12" s="2">
        <f t="shared" si="0"/>
        <v>1</v>
      </c>
    </row>
    <row r="13" spans="1:10" x14ac:dyDescent="0.3">
      <c r="A13" s="4">
        <v>12</v>
      </c>
      <c r="B13" s="5" t="s">
        <v>9</v>
      </c>
      <c r="C13" s="2" t="s">
        <v>7</v>
      </c>
      <c r="D13" s="2" t="s">
        <v>6</v>
      </c>
      <c r="E13" s="4">
        <v>24</v>
      </c>
      <c r="F13" s="4">
        <v>5</v>
      </c>
      <c r="G13" s="2" t="str">
        <f>_xlfn.XLOOKUP($C13,lookup!$A$2:$A$5,lookup!$C$2:$C$5)</f>
        <v>Technical</v>
      </c>
      <c r="H13" s="2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3BDC-9828-4631-AB45-12846AAF7FCF}">
  <dimension ref="A1:C5"/>
  <sheetViews>
    <sheetView workbookViewId="0">
      <selection sqref="A1:C1"/>
    </sheetView>
  </sheetViews>
  <sheetFormatPr defaultRowHeight="14.4" x14ac:dyDescent="0.3"/>
  <cols>
    <col min="1" max="1" width="15.88671875" customWidth="1"/>
    <col min="2" max="2" width="17.88671875" customWidth="1"/>
    <col min="3" max="3" width="14.44140625" customWidth="1"/>
  </cols>
  <sheetData>
    <row r="1" spans="1:3" x14ac:dyDescent="0.3">
      <c r="A1" s="3" t="s">
        <v>12</v>
      </c>
      <c r="B1" s="3" t="s">
        <v>23</v>
      </c>
      <c r="C1" s="3" t="s">
        <v>24</v>
      </c>
    </row>
    <row r="2" spans="1:3" x14ac:dyDescent="0.3">
      <c r="A2" s="2" t="s">
        <v>1</v>
      </c>
      <c r="B2" s="2" t="s">
        <v>16</v>
      </c>
      <c r="C2" s="2" t="s">
        <v>17</v>
      </c>
    </row>
    <row r="3" spans="1:3" x14ac:dyDescent="0.3">
      <c r="A3" s="2" t="s">
        <v>3</v>
      </c>
      <c r="B3" s="2" t="s">
        <v>18</v>
      </c>
      <c r="C3" s="2" t="s">
        <v>17</v>
      </c>
    </row>
    <row r="4" spans="1:3" x14ac:dyDescent="0.3">
      <c r="A4" s="2" t="s">
        <v>5</v>
      </c>
      <c r="B4" s="2" t="s">
        <v>19</v>
      </c>
      <c r="C4" s="2" t="s">
        <v>20</v>
      </c>
    </row>
    <row r="5" spans="1:3" x14ac:dyDescent="0.3">
      <c r="A5" s="2" t="s">
        <v>7</v>
      </c>
      <c r="B5" s="2" t="s">
        <v>21</v>
      </c>
      <c r="C5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F32B-040A-4C6B-9A20-EAEB40BAFEB3}">
  <dimension ref="A2:H7"/>
  <sheetViews>
    <sheetView tabSelected="1" workbookViewId="0">
      <selection activeCell="H24" sqref="H24"/>
    </sheetView>
  </sheetViews>
  <sheetFormatPr defaultRowHeight="14.4" x14ac:dyDescent="0.3"/>
  <cols>
    <col min="1" max="1" width="23.33203125" customWidth="1"/>
    <col min="4" max="4" width="22" bestFit="1" customWidth="1"/>
    <col min="5" max="5" width="15.5546875" bestFit="1" customWidth="1"/>
    <col min="6" max="6" width="8.88671875" bestFit="1" customWidth="1"/>
    <col min="7" max="7" width="9.33203125" bestFit="1" customWidth="1"/>
    <col min="8" max="8" width="10.77734375" bestFit="1" customWidth="1"/>
  </cols>
  <sheetData>
    <row r="2" spans="1:8" x14ac:dyDescent="0.3">
      <c r="A2" s="3" t="s">
        <v>28</v>
      </c>
      <c r="B2" s="2">
        <f>COUNTIFS(clean!H2:H13,"=1",clean!D2:D13,"=Email")</f>
        <v>0</v>
      </c>
      <c r="D2" s="7" t="s">
        <v>31</v>
      </c>
      <c r="E2" s="7" t="s">
        <v>34</v>
      </c>
    </row>
    <row r="3" spans="1:8" x14ac:dyDescent="0.3">
      <c r="A3" s="3" t="s">
        <v>29</v>
      </c>
      <c r="B3" s="2">
        <f>COUNTIFS(clean!H3:H14,"=1",clean!D3:D14,"=Chat")</f>
        <v>3</v>
      </c>
      <c r="D3" s="7" t="s">
        <v>32</v>
      </c>
      <c r="E3" t="s">
        <v>17</v>
      </c>
      <c r="F3" t="s">
        <v>22</v>
      </c>
      <c r="G3" t="s">
        <v>20</v>
      </c>
      <c r="H3" t="s">
        <v>33</v>
      </c>
    </row>
    <row r="4" spans="1:8" x14ac:dyDescent="0.3">
      <c r="A4" s="3" t="s">
        <v>30</v>
      </c>
      <c r="B4" s="2">
        <f>COUNTIFS(clean!H4:H15,"=1",clean!D4:D15,"=Phone")</f>
        <v>2</v>
      </c>
      <c r="D4" s="8" t="s">
        <v>0</v>
      </c>
      <c r="E4" s="1">
        <v>40</v>
      </c>
      <c r="F4" s="1">
        <v>20</v>
      </c>
      <c r="G4" s="1">
        <v>36</v>
      </c>
      <c r="H4" s="1">
        <v>96</v>
      </c>
    </row>
    <row r="5" spans="1:8" x14ac:dyDescent="0.3">
      <c r="D5" s="8" t="s">
        <v>8</v>
      </c>
      <c r="E5" s="1">
        <v>38</v>
      </c>
      <c r="F5" s="1">
        <v>40</v>
      </c>
      <c r="G5" s="1">
        <v>18</v>
      </c>
      <c r="H5" s="1">
        <v>96</v>
      </c>
    </row>
    <row r="6" spans="1:8" x14ac:dyDescent="0.3">
      <c r="D6" s="8" t="s">
        <v>9</v>
      </c>
      <c r="E6" s="1">
        <v>38</v>
      </c>
      <c r="F6" s="1">
        <v>24</v>
      </c>
      <c r="G6" s="1">
        <v>32</v>
      </c>
      <c r="H6" s="1">
        <v>94</v>
      </c>
    </row>
    <row r="7" spans="1:8" x14ac:dyDescent="0.3">
      <c r="D7" s="8" t="s">
        <v>33</v>
      </c>
      <c r="E7" s="1">
        <v>116</v>
      </c>
      <c r="F7" s="1">
        <v>84</v>
      </c>
      <c r="G7" s="1">
        <v>86</v>
      </c>
      <c r="H7" s="1">
        <v>286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</vt:lpstr>
      <vt:lpstr>lookup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patelujjval404@gmail.com</dc:creator>
  <cp:lastModifiedBy>patelujjval404@gmail.com</cp:lastModifiedBy>
  <dcterms:created xsi:type="dcterms:W3CDTF">2026-10-03T05:20:34Z</dcterms:created>
  <dcterms:modified xsi:type="dcterms:W3CDTF">2026-10-03T06:09:47Z</dcterms:modified>
</cp:coreProperties>
</file>